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H:\DemoMot\demomot année 2\Demo - Script\"/>
    </mc:Choice>
  </mc:AlternateContent>
  <bookViews>
    <workbookView xWindow="3675"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6"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JNLTRAV!$A$1:$D$37</definedName>
    <definedName name="_xlnm.Print_Area" localSheetId="0">Donnees!$A$1:$G$54</definedName>
    <definedName name="_xlnm.Print_Area" localSheetId="5">JNLTRAV!$A$1:$D$103</definedName>
  </definedNames>
  <calcPr calcId="152511"/>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6" i="156" l="1"/>
  <c r="B102" i="156" l="1"/>
  <c r="B83" i="156"/>
  <c r="B74" i="156"/>
  <c r="B55" i="156"/>
  <c r="B18" i="154" l="1"/>
  <c r="B13" i="11"/>
</calcChain>
</file>

<file path=xl/sharedStrings.xml><?xml version="1.0" encoding="utf-8"?>
<sst xmlns="http://schemas.openxmlformats.org/spreadsheetml/2006/main" count="134" uniqueCount="70">
  <si>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</si>
  <si>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</si>
  <si>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</si>
  <si>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</si>
  <si>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</si>
  <si>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</si>
  <si>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</si>
  <si>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</si>
  <si>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</si>
  <si>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</si>
  <si>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</si>
  <si>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</si>
  <si>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</si>
  <si>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</si>
  <si>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</si>
  <si>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</si>
  <si>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</si>
  <si>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</si>
  <si>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</si>
  <si>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</si>
  <si>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</si>
  <si>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</si>
  <si>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</si>
  <si>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</si>
  <si>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</si>
  <si>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Sallai Nolan</t>
  </si>
  <si>
    <t>CIN2B</t>
  </si>
  <si>
    <t>ETML</t>
  </si>
  <si>
    <t>STOP</t>
  </si>
  <si>
    <t>Discussion avec le chef de projet</t>
  </si>
  <si>
    <t>Code</t>
  </si>
  <si>
    <t>GitHub</t>
  </si>
  <si>
    <t>Sprint Backlog - Trello</t>
  </si>
  <si>
    <t>Recherche</t>
  </si>
  <si>
    <t>Installation du matériel</t>
  </si>
  <si>
    <t>Journal de travail</t>
  </si>
  <si>
    <t>Test</t>
  </si>
  <si>
    <t>Max. 90</t>
  </si>
  <si>
    <t xml:space="preserve">► Recherche d'idées pour mon Demomot:
→ Idée renue: Interface graphique en PowerShell permettant de lancer des Scripts.
→ Permet de lancer 6 scripts par default:
    - Backup
    - Liste des ports ouverts
    - Informations réseaux
    - Modifier l'adresse IP
    - Donner le nom du PC
    - Modifier le nom du PC
→ Permet de lancer des Scripts personnels
</t>
  </si>
  <si>
    <t>Lundi 30.05.16</t>
  </si>
  <si>
    <t>Cahier des charges</t>
  </si>
  <si>
    <t>Séance de classe</t>
  </si>
  <si>
    <t xml:space="preserve">► Rédaction du cahier des charges pour le projet Script et pour le projet de la charte graphique qui se fait en parallèle
</t>
  </si>
  <si>
    <t xml:space="preserve">► Séance de classe avec la prof.
→ Visionnage d'un documentaire sur le sommeil chez les jeunes
</t>
  </si>
  <si>
    <t xml:space="preserve">► Sujet de discussion :
→ Introduction au Demomot
→ Liste des personnes étant obligé de faire un sujet précis (Script dans mon cas)
→ Sujet de Demomot proposé par l'ETML (Les profs en général)
</t>
  </si>
  <si>
    <t>Mardi 31.05.16</t>
  </si>
  <si>
    <t>Mercredi 01.06.16</t>
  </si>
  <si>
    <t xml:space="preserve">► Création des users stories
</t>
  </si>
  <si>
    <t xml:space="preserve">► Rédaction du journal de travail des jours :
→ lundi 30.05.16
→ mardi 31.05.16
</t>
  </si>
  <si>
    <t xml:space="preserve">► Installation de la machine virtuel
→ Windows 10
→ Configuration d'un dossier partage entre la VM et la machine labo dans le but d'accueillir les scripts
</t>
  </si>
  <si>
    <t>https://trello.com/b/RekG035R/p-script</t>
  </si>
  <si>
    <t xml:space="preserve">► Ajout de users stories sur le site de Trello
→ Interface graphique
→ Script backup
→ Script liste de ports ouverts
→ Script information réseau
→ Script modification de l'adresse IP
→ Script nom du PC
→ Script modifier le nom du PC
</t>
  </si>
  <si>
    <t>► Remplissage du journal de travail</t>
  </si>
  <si>
    <r>
      <t xml:space="preserve">► Codification de l'interface graphique permettant de lancer les scripts.
→ Ajout des bouttons principaux:
    - backup
    - liste de ports ouverts
    - information réseau
    - modification de l'adresse IP
    - nom du PC
    - modifier le nom du PC
→ Ajout de code renvoyant sur une nouvelle interface graphique permettant d'afficher le nom de l'ordinateur
→ Ajout de code renvoyant sur une nouvelle interface graphique permttant de modifier le nom de l'ordinateur
► Codification de l'inteface graphique affichant le nom
→ Ajout de code PowerShell permettant d'afficher le nom de l'ordinateur
► Codification de l'interface graphique permettant de modifer le nom de l'ordinateur
→ Ajout de code PowerShell permettant de modifier le code
► Modification du code permettant de modifier le nom de l'ordinateur
→ Vérification si le champ est vide ou s'il n'y a pas de caratère autre que des lettres ou des chiffres
→ Problème: En lancant le script depuis une invite de commande PowerShell, la fonction </t>
    </r>
    <r>
      <rPr>
        <b/>
        <sz val="10"/>
        <rFont val="Century Gothic"/>
        <family val="2"/>
        <scheme val="minor"/>
      </rPr>
      <t xml:space="preserve">Rename-Computer </t>
    </r>
    <r>
      <rPr>
        <sz val="10"/>
        <rFont val="Century Gothic"/>
        <family val="2"/>
        <scheme val="minor"/>
      </rPr>
      <t xml:space="preserve">est refusée d'accès
    - Statut : En cours de résolution
</t>
    </r>
  </si>
  <si>
    <t>Jeudi 02.06.16</t>
  </si>
  <si>
    <t>Vendredi 03.06.16</t>
  </si>
  <si>
    <t>Pas de Demomot</t>
  </si>
  <si>
    <t>Evenement spécial</t>
  </si>
  <si>
    <t>Camp de sport</t>
  </si>
  <si>
    <t>Evenement</t>
  </si>
  <si>
    <t>► Remplissage du journale de travail</t>
  </si>
  <si>
    <t>Nettoyage</t>
  </si>
  <si>
    <t>► Nettoyage de la classe</t>
  </si>
  <si>
    <t xml:space="preserve">► Modification du code permettant de modifier le nom de l'ordinateur
→ Ajout d'un regex permettant de contrôler les données qu'entrera l'utilisateur lorqu'il voudra changer le nom de l'ordinateur. Tous les caractères autres que des lettres, chiffres et tirets ne sont pas acceptés.
► Création d'une nouvelle form pour modifier l'adresse IP de l'ordinateur
→ Ajout de code pour modifier l'adresse ip
→ Ajout de code pour supprimer l'addresse ip afin qu'il puisse être recrée
→ Problèmes: Si il y a une adresse apipa en permier et pas de passerelle par defaut, ca crée une erreur. Si l'addresse et la passerelle par defaut ne sont pas dans la même plage d'adresse, ca  crée une erreur
► Création d'une nouvelle form pour faire des back up </t>
  </si>
  <si>
    <t>Lundi 06.06.2016</t>
  </si>
  <si>
    <t>► Codification de l'interface permettant d'afficher la liste des ports ouverts
→ Ajout de code permettant de rechercher les ports ouverts
→ Affichage des informations en colonne
→ Fenêtre dymamique
► Codification de l'interface permettant d'afficher les informations du réseau
→ Ajout de code permettant de rechercher les information réseau grâce é un netstat
→ Affichage des informations en colonne
→ Fenêtre dynamique
► Codification de l'interface permettant de lancer nos propres scripts
→ Ajout de code permettant d'ouvrir une boîte de dialogue
→ Ajout de code permettant d'ouvrir une commande PowerShell
→ Problème: une fois que la commande s'ouvre le script choisis ne se lance pas directement, ni tout court</t>
  </si>
  <si>
    <t>► Divers recherche sur la façon d'afficher des informations sous form de colonne dans un label
► Recherche d'une façon de séparer les informations afin de pouvoir mieux les afficher sous forme de colonne.</t>
  </si>
  <si>
    <t>Mardi 07.06.16</t>
  </si>
  <si>
    <t>► Rédaction du journal de travail</t>
  </si>
  <si>
    <t>► Essaie de corriger les problème coresspondant au script de modification de l'addresse IP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</si>
</sst>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Century Gothic"/>
      <family val="2"/>
      <scheme val="minor"/>
    </font>
    <font>
      <sz val="10"/>
      <color rgb="FFFFFF00"/>
      <name val="Century Gothic"/>
      <family val="2"/>
      <scheme val="minor"/>
    </font>
    <font>
      <sz val="10"/>
      <color rgb="FFFFFF00"/>
      <name val="Arial"/>
      <family val="2"/>
    </font>
    <font>
      <b/>
      <sz val="12"/>
      <color rgb="FFFFFF00"/>
      <name val="Century Gothic"/>
      <family val="2"/>
      <scheme val="minor"/>
    </font>
    <font>
      <b/>
      <sz val="9"/>
      <color rgb="FFFFFF00"/>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bgColor indexed="64"/>
      </patternFill>
    </fill>
    <fill>
      <patternFill patternType="solid">
        <fgColor theme="1" tint="0.499984740745262"/>
        <bgColor indexed="64"/>
      </patternFill>
    </fill>
    <fill>
      <patternFill patternType="solid">
        <fgColor theme="1" tint="0.14999847407452621"/>
        <bgColor indexed="64"/>
      </patternFill>
    </fill>
  </fills>
  <borders count="3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1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8" fillId="14" borderId="20" xfId="0" applyFont="1" applyFill="1" applyBorder="1" applyAlignment="1" applyProtection="1">
      <alignment horizontal="center" vertical="center"/>
    </xf>
    <xf numFmtId="0" fontId="13" fillId="14" borderId="20" xfId="0" applyFont="1" applyFill="1" applyBorder="1" applyAlignment="1" applyProtection="1">
      <alignment horizontal="center" vertical="center" wrapText="1"/>
    </xf>
    <xf numFmtId="0" fontId="0" fillId="14" borderId="0" xfId="0" applyFill="1"/>
    <xf numFmtId="0" fontId="8" fillId="14" borderId="15" xfId="0" applyFont="1" applyFill="1" applyBorder="1" applyAlignment="1" applyProtection="1">
      <alignment horizontal="center" vertical="center"/>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3" fillId="14" borderId="15"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xf>
    <xf numFmtId="0" fontId="13" fillId="4" borderId="15" xfId="0" applyFont="1" applyFill="1" applyBorder="1" applyAlignment="1" applyProtection="1">
      <alignment horizontal="center" vertical="center" wrapText="1"/>
    </xf>
    <xf numFmtId="0" fontId="17" fillId="4" borderId="15" xfId="0" applyFont="1" applyFill="1" applyBorder="1" applyAlignment="1" applyProtection="1">
      <alignment horizontal="center" vertical="center"/>
    </xf>
    <xf numFmtId="0" fontId="0" fillId="16" borderId="0" xfId="0" applyFill="1"/>
    <xf numFmtId="0" fontId="19" fillId="16" borderId="0" xfId="0" applyFont="1" applyFill="1"/>
    <xf numFmtId="0" fontId="19" fillId="15" borderId="0" xfId="0" applyFont="1" applyFill="1"/>
    <xf numFmtId="0" fontId="8" fillId="16" borderId="32" xfId="0" applyFont="1" applyFill="1" applyBorder="1" applyAlignment="1" applyProtection="1">
      <alignment horizontal="center" vertical="center"/>
    </xf>
    <xf numFmtId="0" fontId="13" fillId="16" borderId="32" xfId="0" applyFont="1" applyFill="1" applyBorder="1" applyAlignment="1" applyProtection="1">
      <alignment horizontal="center" vertical="center" wrapText="1"/>
    </xf>
    <xf numFmtId="0" fontId="20" fillId="16" borderId="20" xfId="0" applyFont="1" applyFill="1" applyBorder="1" applyAlignment="1" applyProtection="1">
      <alignment horizontal="center" vertical="center"/>
    </xf>
    <xf numFmtId="0" fontId="21" fillId="16" borderId="20" xfId="0" applyFont="1" applyFill="1" applyBorder="1" applyAlignment="1" applyProtection="1">
      <alignment horizontal="center" vertical="center" wrapText="1"/>
    </xf>
    <xf numFmtId="0" fontId="20" fillId="15" borderId="0" xfId="0" applyFont="1" applyFill="1" applyBorder="1" applyAlignment="1" applyProtection="1">
      <alignment horizontal="center" vertical="center"/>
    </xf>
    <xf numFmtId="0" fontId="21" fillId="15" borderId="0" xfId="0" applyFont="1" applyFill="1" applyBorder="1" applyAlignment="1" applyProtection="1">
      <alignment horizontal="center" vertical="center" wrapText="1"/>
    </xf>
    <xf numFmtId="0" fontId="20" fillId="15" borderId="0" xfId="0" quotePrefix="1" applyFont="1" applyFill="1" applyBorder="1" applyAlignment="1" applyProtection="1">
      <alignment horizontal="left" vertical="center"/>
    </xf>
    <xf numFmtId="0" fontId="18" fillId="15" borderId="0" xfId="1" applyFont="1" applyFill="1" applyBorder="1" applyAlignment="1" applyProtection="1">
      <alignment horizontal="center" vertical="center" wrapText="1"/>
      <protection locked="0"/>
    </xf>
    <xf numFmtId="0" fontId="18" fillId="15" borderId="0" xfId="0" applyFont="1" applyFill="1" applyBorder="1" applyAlignment="1" applyProtection="1">
      <alignment horizontal="center" vertical="center" wrapText="1"/>
      <protection locked="0"/>
    </xf>
    <xf numFmtId="0" fontId="18" fillId="15" borderId="0" xfId="0" applyFont="1" applyFill="1" applyBorder="1" applyAlignment="1" applyProtection="1">
      <alignment horizontal="center" vertical="top" wrapText="1"/>
      <protection locked="0"/>
    </xf>
    <xf numFmtId="0" fontId="18" fillId="15" borderId="0" xfId="0" applyFont="1" applyFill="1" applyBorder="1" applyAlignment="1" applyProtection="1">
      <alignment horizontal="left" vertical="top" wrapText="1"/>
      <protection locked="0"/>
    </xf>
    <xf numFmtId="0" fontId="20" fillId="16" borderId="20" xfId="0" quotePrefix="1" applyFont="1" applyFill="1" applyBorder="1" applyAlignment="1" applyProtection="1">
      <alignment horizontal="center" vertical="center"/>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Realis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s://trello.com/b/RekG035R/p-script" TargetMode="Externa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4" zoomScaleNormal="100" workbookViewId="0">
      <selection activeCell="C32" sqref="C32"/>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42520</v>
      </c>
      <c r="D9" s="37"/>
      <c r="E9" s="37"/>
      <c r="F9" s="37"/>
      <c r="G9" s="34"/>
    </row>
    <row r="10" spans="1:7" ht="19.5" x14ac:dyDescent="0.2">
      <c r="A10" s="42"/>
      <c r="B10" s="22" t="s">
        <v>8</v>
      </c>
      <c r="C10" s="24">
        <v>42548</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2" t="s">
        <v>19</v>
      </c>
      <c r="C19" s="113"/>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35</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36</v>
      </c>
      <c r="D28" s="37"/>
      <c r="E28" s="37"/>
      <c r="F28" s="37"/>
      <c r="G28" s="34"/>
    </row>
    <row r="29" spans="1:13" ht="19.5" x14ac:dyDescent="0.2">
      <c r="A29" s="52"/>
      <c r="B29" s="67">
        <v>9</v>
      </c>
      <c r="C29" s="27" t="s">
        <v>40</v>
      </c>
      <c r="D29" s="37"/>
      <c r="E29" s="37"/>
      <c r="F29" s="37"/>
      <c r="G29" s="34"/>
    </row>
    <row r="30" spans="1:13" ht="19.5" x14ac:dyDescent="0.2">
      <c r="A30" s="52"/>
      <c r="B30" s="66">
        <v>10</v>
      </c>
      <c r="C30" s="28" t="s">
        <v>41</v>
      </c>
      <c r="D30" s="37"/>
      <c r="E30" s="37"/>
      <c r="F30" s="37"/>
      <c r="G30" s="34"/>
    </row>
    <row r="31" spans="1:13" ht="19.5" x14ac:dyDescent="0.2">
      <c r="A31" s="52"/>
      <c r="B31" s="66">
        <v>11</v>
      </c>
      <c r="C31" s="28" t="s">
        <v>57</v>
      </c>
      <c r="D31" s="37"/>
      <c r="E31" s="37"/>
      <c r="F31" s="37"/>
      <c r="G31" s="34"/>
      <c r="H31" s="1"/>
      <c r="I31" s="1"/>
      <c r="J31" s="1"/>
      <c r="K31" s="1"/>
      <c r="L31" s="1"/>
      <c r="M31" s="1"/>
    </row>
    <row r="32" spans="1:13" ht="19.5" x14ac:dyDescent="0.2">
      <c r="A32" s="52"/>
      <c r="B32" s="67">
        <v>12</v>
      </c>
      <c r="C32" s="28" t="s">
        <v>61</v>
      </c>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4" t="s">
        <v>21</v>
      </c>
      <c r="C3" s="30">
        <v>0</v>
      </c>
    </row>
    <row r="4" spans="1:4" ht="19.5" customHeight="1" x14ac:dyDescent="0.2">
      <c r="A4" s="34"/>
      <c r="B4" s="11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1:I104"/>
  <sheetViews>
    <sheetView tabSelected="1" view="pageBreakPreview" topLeftCell="A37" zoomScaleNormal="100" zoomScaleSheetLayoutView="100" workbookViewId="0">
      <selection activeCell="C47" sqref="C47"/>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42520</v>
      </c>
    </row>
    <row r="2" spans="1:4" ht="27.75" thickBot="1" x14ac:dyDescent="0.25">
      <c r="A2" s="74" t="s">
        <v>3</v>
      </c>
      <c r="B2" s="75" t="s">
        <v>15</v>
      </c>
      <c r="C2" s="74" t="s">
        <v>7</v>
      </c>
      <c r="D2" s="74" t="s">
        <v>13</v>
      </c>
    </row>
    <row r="3" spans="1:4" s="88" customFormat="1" ht="15.75" thickBot="1" x14ac:dyDescent="0.25">
      <c r="A3" s="89"/>
      <c r="B3" s="87"/>
      <c r="C3" s="86" t="s">
        <v>39</v>
      </c>
      <c r="D3" s="86"/>
    </row>
    <row r="4" spans="1:4" s="81" customFormat="1" ht="67.5" x14ac:dyDescent="0.2">
      <c r="A4" s="85" t="s">
        <v>29</v>
      </c>
      <c r="B4" s="8">
        <v>3</v>
      </c>
      <c r="C4" s="13" t="s">
        <v>44</v>
      </c>
      <c r="D4" s="13"/>
    </row>
    <row r="5" spans="1:4" s="81" customFormat="1" ht="148.5" x14ac:dyDescent="0.2">
      <c r="A5" s="5" t="s">
        <v>33</v>
      </c>
      <c r="B5" s="6">
        <v>15</v>
      </c>
      <c r="C5" s="14" t="s">
        <v>38</v>
      </c>
      <c r="D5" s="14"/>
    </row>
    <row r="6" spans="1:4" s="81" customFormat="1" ht="40.5" x14ac:dyDescent="0.2">
      <c r="A6" s="5" t="s">
        <v>40</v>
      </c>
      <c r="B6" s="6">
        <v>6</v>
      </c>
      <c r="C6" s="14" t="s">
        <v>42</v>
      </c>
      <c r="D6" s="14"/>
    </row>
    <row r="7" spans="1:4" s="81" customFormat="1" ht="40.5" x14ac:dyDescent="0.2">
      <c r="A7" s="5" t="s">
        <v>41</v>
      </c>
      <c r="B7" s="6">
        <v>3</v>
      </c>
      <c r="C7" s="14" t="s">
        <v>43</v>
      </c>
      <c r="D7" s="14"/>
    </row>
    <row r="8" spans="1:4" s="81" customFormat="1" ht="13.5" x14ac:dyDescent="0.2">
      <c r="A8" s="5"/>
      <c r="B8" s="90"/>
      <c r="C8" s="91"/>
      <c r="D8" s="91"/>
    </row>
    <row r="9" spans="1:4" s="81" customFormat="1" ht="13.5" x14ac:dyDescent="0.2">
      <c r="A9" s="5"/>
      <c r="B9" s="6"/>
      <c r="C9" s="14"/>
      <c r="D9" s="14"/>
    </row>
    <row r="10" spans="1:4" s="81" customFormat="1" ht="14.25" thickBot="1" x14ac:dyDescent="0.25">
      <c r="A10" s="5"/>
      <c r="B10" s="6"/>
      <c r="C10" s="14"/>
      <c r="D10" s="14"/>
    </row>
    <row r="11" spans="1:4" s="88" customFormat="1" ht="15.75" thickBot="1" x14ac:dyDescent="0.25">
      <c r="A11" s="89"/>
      <c r="B11" s="92"/>
      <c r="C11" s="89" t="s">
        <v>45</v>
      </c>
      <c r="D11" s="89"/>
    </row>
    <row r="12" spans="1:4" s="81" customFormat="1" ht="54" x14ac:dyDescent="0.2">
      <c r="A12" s="6" t="s">
        <v>35</v>
      </c>
      <c r="B12" s="6">
        <v>4</v>
      </c>
      <c r="C12" s="14" t="s">
        <v>48</v>
      </c>
      <c r="D12" s="14"/>
    </row>
    <row r="13" spans="1:4" s="81" customFormat="1" ht="27" x14ac:dyDescent="0.2">
      <c r="A13" s="6" t="s">
        <v>32</v>
      </c>
      <c r="B13" s="6">
        <v>5</v>
      </c>
      <c r="C13" s="14" t="s">
        <v>47</v>
      </c>
      <c r="D13" s="14"/>
    </row>
    <row r="14" spans="1:4" s="81" customFormat="1" ht="67.5" x14ac:dyDescent="0.2">
      <c r="A14" s="79" t="s">
        <v>34</v>
      </c>
      <c r="B14" s="79">
        <v>3</v>
      </c>
      <c r="C14" s="80" t="s">
        <v>49</v>
      </c>
      <c r="D14" s="80"/>
    </row>
    <row r="15" spans="1:4" s="81" customFormat="1" ht="13.5" x14ac:dyDescent="0.2">
      <c r="A15" s="79"/>
      <c r="B15" s="79"/>
      <c r="C15" s="80"/>
      <c r="D15" s="80"/>
    </row>
    <row r="16" spans="1:4" s="81" customFormat="1" ht="13.5" x14ac:dyDescent="0.2">
      <c r="A16" s="79"/>
      <c r="B16" s="79"/>
      <c r="C16" s="80"/>
      <c r="D16" s="80"/>
    </row>
    <row r="17" spans="1:4" s="81" customFormat="1" ht="14.25" thickBot="1" x14ac:dyDescent="0.25">
      <c r="A17" s="79"/>
      <c r="B17" s="79"/>
      <c r="C17" s="80"/>
      <c r="D17" s="80"/>
    </row>
    <row r="18" spans="1:4" s="88" customFormat="1" ht="15.75" thickBot="1" x14ac:dyDescent="0.25">
      <c r="A18" s="89"/>
      <c r="B18" s="92"/>
      <c r="C18" s="89" t="s">
        <v>46</v>
      </c>
      <c r="D18" s="89"/>
    </row>
    <row r="19" spans="1:4" s="81" customFormat="1" ht="121.5" x14ac:dyDescent="0.2">
      <c r="A19" s="79" t="s">
        <v>32</v>
      </c>
      <c r="B19" s="79">
        <v>1</v>
      </c>
      <c r="C19" s="80" t="s">
        <v>51</v>
      </c>
      <c r="D19" s="93" t="s">
        <v>50</v>
      </c>
    </row>
    <row r="20" spans="1:4" s="81" customFormat="1" ht="351" x14ac:dyDescent="0.2">
      <c r="A20" s="79" t="s">
        <v>30</v>
      </c>
      <c r="B20" s="79">
        <v>25</v>
      </c>
      <c r="C20" s="80" t="s">
        <v>53</v>
      </c>
      <c r="D20" s="80"/>
    </row>
    <row r="21" spans="1:4" s="81" customFormat="1" ht="13.5" x14ac:dyDescent="0.2">
      <c r="A21" s="79" t="s">
        <v>35</v>
      </c>
      <c r="B21" s="79">
        <v>1</v>
      </c>
      <c r="C21" s="80" t="s">
        <v>52</v>
      </c>
      <c r="D21" s="80"/>
    </row>
    <row r="22" spans="1:4" s="81" customFormat="1" ht="13.5" x14ac:dyDescent="0.2">
      <c r="A22" s="79"/>
      <c r="B22" s="79"/>
      <c r="C22" s="80"/>
      <c r="D22" s="80"/>
    </row>
    <row r="23" spans="1:4" s="81" customFormat="1" ht="13.5" x14ac:dyDescent="0.2">
      <c r="A23" s="79"/>
      <c r="B23" s="79"/>
      <c r="C23" s="80"/>
      <c r="D23" s="80"/>
    </row>
    <row r="24" spans="1:4" s="81" customFormat="1" ht="14.25" thickBot="1" x14ac:dyDescent="0.25">
      <c r="A24" s="79"/>
      <c r="B24" s="79"/>
      <c r="C24" s="80"/>
      <c r="D24" s="80"/>
    </row>
    <row r="25" spans="1:4" s="88" customFormat="1" ht="15.75" thickBot="1" x14ac:dyDescent="0.25">
      <c r="A25" s="89"/>
      <c r="B25" s="92"/>
      <c r="C25" s="89" t="s">
        <v>54</v>
      </c>
      <c r="D25" s="89"/>
    </row>
    <row r="26" spans="1:4" s="88" customFormat="1" ht="18" thickBot="1" x14ac:dyDescent="0.25">
      <c r="A26" s="94"/>
      <c r="B26" s="95"/>
      <c r="C26" s="96" t="s">
        <v>56</v>
      </c>
      <c r="D26" s="94"/>
    </row>
    <row r="27" spans="1:4" s="88" customFormat="1" ht="15.75" thickBot="1" x14ac:dyDescent="0.25">
      <c r="A27" s="89"/>
      <c r="B27" s="92"/>
      <c r="C27" s="89" t="s">
        <v>55</v>
      </c>
      <c r="D27" s="89"/>
    </row>
    <row r="28" spans="1:4" s="81" customFormat="1" ht="175.5" x14ac:dyDescent="0.2">
      <c r="A28" s="79" t="s">
        <v>30</v>
      </c>
      <c r="B28" s="79">
        <v>22</v>
      </c>
      <c r="C28" s="80" t="s">
        <v>63</v>
      </c>
      <c r="D28" s="80"/>
    </row>
    <row r="29" spans="1:4" s="81" customFormat="1" ht="13.5" x14ac:dyDescent="0.2">
      <c r="A29" s="79" t="s">
        <v>35</v>
      </c>
      <c r="B29" s="79">
        <v>1</v>
      </c>
      <c r="C29" s="80" t="s">
        <v>60</v>
      </c>
      <c r="D29" s="80"/>
    </row>
    <row r="30" spans="1:4" s="81" customFormat="1" ht="13.5" x14ac:dyDescent="0.2">
      <c r="A30" s="79" t="s">
        <v>61</v>
      </c>
      <c r="B30" s="79">
        <v>1</v>
      </c>
      <c r="C30" s="80" t="s">
        <v>62</v>
      </c>
      <c r="D30" s="80"/>
    </row>
    <row r="31" spans="1:4" s="81" customFormat="1" ht="13.5" x14ac:dyDescent="0.2">
      <c r="A31" s="79"/>
      <c r="B31" s="79"/>
      <c r="C31" s="80"/>
      <c r="D31" s="80"/>
    </row>
    <row r="32" spans="1:4" s="81" customFormat="1" ht="13.5" x14ac:dyDescent="0.2">
      <c r="A32" s="79"/>
      <c r="B32" s="79"/>
      <c r="C32" s="80"/>
      <c r="D32" s="80"/>
    </row>
    <row r="33" spans="1:9" s="81" customFormat="1" ht="13.5" x14ac:dyDescent="0.2">
      <c r="A33" s="79"/>
      <c r="B33" s="79"/>
      <c r="C33" s="80"/>
      <c r="D33" s="80"/>
    </row>
    <row r="34" spans="1:9" s="81" customFormat="1" ht="13.5" x14ac:dyDescent="0.2">
      <c r="A34" s="79"/>
      <c r="B34" s="79"/>
      <c r="C34" s="80"/>
      <c r="D34" s="80"/>
    </row>
    <row r="35" spans="1:9" s="81" customFormat="1" ht="14.25" thickBot="1" x14ac:dyDescent="0.25">
      <c r="A35" s="7"/>
      <c r="B35" s="7"/>
      <c r="C35" s="15"/>
      <c r="D35" s="15"/>
    </row>
    <row r="36" spans="1:9" ht="14.25" thickBot="1" x14ac:dyDescent="0.25">
      <c r="A36" s="76" t="s">
        <v>22</v>
      </c>
      <c r="B36" s="76">
        <f>SUM(B3:B35)</f>
        <v>90</v>
      </c>
      <c r="C36" s="83" t="s">
        <v>37</v>
      </c>
      <c r="D36" s="77"/>
    </row>
    <row r="37" spans="1:9" ht="15" thickBot="1" x14ac:dyDescent="0.35">
      <c r="A37" s="78"/>
      <c r="B37" s="78"/>
      <c r="C37" s="78"/>
      <c r="D37" s="78"/>
    </row>
    <row r="38" spans="1:9" ht="18.75" thickBot="1" x14ac:dyDescent="0.25">
      <c r="A38" s="71" t="s">
        <v>14</v>
      </c>
      <c r="B38" s="72">
        <v>2</v>
      </c>
      <c r="C38" s="73" t="s">
        <v>23</v>
      </c>
      <c r="D38" s="82">
        <v>42527</v>
      </c>
    </row>
    <row r="39" spans="1:9" ht="27.75" thickBot="1" x14ac:dyDescent="0.25">
      <c r="A39" s="74" t="s">
        <v>3</v>
      </c>
      <c r="B39" s="75" t="s">
        <v>15</v>
      </c>
      <c r="C39" s="74" t="s">
        <v>7</v>
      </c>
      <c r="D39" s="74" t="s">
        <v>13</v>
      </c>
    </row>
    <row r="40" spans="1:9" s="88" customFormat="1" ht="15.75" thickBot="1" x14ac:dyDescent="0.25">
      <c r="A40" s="89"/>
      <c r="B40" s="92"/>
      <c r="C40" s="89" t="s">
        <v>64</v>
      </c>
      <c r="D40" s="89"/>
    </row>
    <row r="41" spans="1:9" ht="202.5" x14ac:dyDescent="0.2">
      <c r="A41" s="5" t="s">
        <v>30</v>
      </c>
      <c r="B41" s="6">
        <v>23</v>
      </c>
      <c r="C41" s="14" t="s">
        <v>65</v>
      </c>
      <c r="D41" s="14"/>
    </row>
    <row r="42" spans="1:9" ht="67.5" x14ac:dyDescent="0.2">
      <c r="A42" s="5" t="s">
        <v>33</v>
      </c>
      <c r="B42" s="6">
        <v>9</v>
      </c>
      <c r="C42" s="14" t="s">
        <v>66</v>
      </c>
      <c r="D42" s="14"/>
      <c r="E42" s="37"/>
      <c r="F42" s="37"/>
      <c r="G42" s="37"/>
      <c r="H42" s="37"/>
      <c r="I42" s="37"/>
    </row>
    <row r="43" spans="1:9" ht="12.75" customHeight="1" x14ac:dyDescent="0.2">
      <c r="A43" s="5"/>
      <c r="B43" s="6"/>
      <c r="C43" s="14"/>
      <c r="D43" s="14"/>
      <c r="E43" s="37"/>
      <c r="F43" s="54"/>
      <c r="G43" s="55"/>
      <c r="H43" s="56"/>
      <c r="I43" s="37"/>
    </row>
    <row r="44" spans="1:9" ht="15" x14ac:dyDescent="0.2">
      <c r="A44" s="5"/>
      <c r="B44" s="6"/>
      <c r="C44" s="14"/>
      <c r="D44" s="14"/>
      <c r="E44" s="37"/>
      <c r="F44" s="57"/>
      <c r="G44" s="53"/>
      <c r="H44" s="53"/>
      <c r="I44" s="37"/>
    </row>
    <row r="45" spans="1:9" ht="14.25" thickBot="1" x14ac:dyDescent="0.25">
      <c r="A45" s="5"/>
      <c r="B45" s="6"/>
      <c r="C45" s="14"/>
      <c r="D45" s="14"/>
      <c r="E45" s="37"/>
      <c r="F45" s="59"/>
      <c r="G45" s="60"/>
      <c r="H45" s="60"/>
      <c r="I45" s="37"/>
    </row>
    <row r="46" spans="1:9" s="88" customFormat="1" ht="15.75" thickBot="1" x14ac:dyDescent="0.25">
      <c r="A46" s="89"/>
      <c r="B46" s="92"/>
      <c r="C46" s="89" t="s">
        <v>67</v>
      </c>
      <c r="D46" s="89"/>
    </row>
    <row r="47" spans="1:9" ht="13.5" x14ac:dyDescent="0.2">
      <c r="A47" s="5" t="s">
        <v>30</v>
      </c>
      <c r="B47" s="6">
        <v>11</v>
      </c>
      <c r="C47" s="14" t="s">
        <v>69</v>
      </c>
      <c r="D47" s="14"/>
      <c r="E47" s="37"/>
      <c r="F47" s="59"/>
      <c r="G47" s="60"/>
      <c r="H47" s="60"/>
      <c r="I47" s="37"/>
    </row>
    <row r="48" spans="1:9" ht="13.5" x14ac:dyDescent="0.2">
      <c r="A48" s="5" t="s">
        <v>35</v>
      </c>
      <c r="B48" s="6">
        <v>1</v>
      </c>
      <c r="C48" s="14" t="s">
        <v>68</v>
      </c>
      <c r="D48" s="14"/>
      <c r="E48" s="37"/>
      <c r="F48" s="59"/>
      <c r="G48" s="60"/>
      <c r="H48" s="60"/>
      <c r="I48" s="37"/>
    </row>
    <row r="49" spans="1:9" ht="13.5" x14ac:dyDescent="0.2">
      <c r="A49" s="6"/>
      <c r="B49" s="6"/>
      <c r="C49" s="14"/>
      <c r="D49" s="14"/>
      <c r="E49" s="37"/>
      <c r="F49" s="59"/>
      <c r="G49" s="60"/>
      <c r="H49" s="60"/>
      <c r="I49" s="37"/>
    </row>
    <row r="50" spans="1:9" ht="13.5" x14ac:dyDescent="0.2">
      <c r="A50" s="6"/>
      <c r="B50" s="6"/>
      <c r="C50" s="14"/>
      <c r="D50" s="14"/>
      <c r="E50" s="37"/>
      <c r="F50" s="59"/>
      <c r="G50" s="60"/>
      <c r="H50" s="60"/>
      <c r="I50" s="37"/>
    </row>
    <row r="51" spans="1:9" ht="13.5" x14ac:dyDescent="0.2">
      <c r="A51" s="6"/>
      <c r="B51" s="6"/>
      <c r="C51" s="14"/>
      <c r="D51" s="14"/>
      <c r="E51" s="37"/>
      <c r="F51" s="59"/>
      <c r="G51" s="60"/>
      <c r="H51" s="60"/>
      <c r="I51" s="37"/>
    </row>
    <row r="52" spans="1:9" ht="13.5" x14ac:dyDescent="0.2">
      <c r="A52" s="79"/>
      <c r="B52" s="79"/>
      <c r="C52" s="80"/>
      <c r="D52" s="80"/>
      <c r="E52" s="37"/>
      <c r="F52" s="59"/>
      <c r="G52" s="60"/>
      <c r="H52" s="60"/>
      <c r="I52" s="37"/>
    </row>
    <row r="53" spans="1:9" ht="13.5" x14ac:dyDescent="0.2">
      <c r="A53" s="79"/>
      <c r="B53" s="79"/>
      <c r="C53" s="80"/>
      <c r="D53" s="80"/>
      <c r="E53" s="37"/>
      <c r="F53" s="61"/>
      <c r="G53" s="62"/>
      <c r="H53" s="62"/>
      <c r="I53" s="37"/>
    </row>
    <row r="54" spans="1:9" ht="15" thickBot="1" x14ac:dyDescent="0.35">
      <c r="A54" s="7"/>
      <c r="B54" s="7"/>
      <c r="C54" s="15"/>
      <c r="D54" s="15"/>
      <c r="E54" s="37"/>
      <c r="F54" s="63"/>
      <c r="G54" s="63"/>
      <c r="H54" s="63"/>
      <c r="I54" s="37"/>
    </row>
    <row r="55" spans="1:9" ht="14.25" thickBot="1" x14ac:dyDescent="0.25">
      <c r="A55" s="76" t="s">
        <v>22</v>
      </c>
      <c r="B55" s="76">
        <f>SUM(B40:B54)</f>
        <v>44</v>
      </c>
      <c r="C55" s="83" t="s">
        <v>37</v>
      </c>
      <c r="D55" s="77"/>
      <c r="E55" s="37"/>
      <c r="F55" s="37"/>
      <c r="G55" s="37"/>
      <c r="H55" s="37"/>
      <c r="I55" s="37"/>
    </row>
    <row r="56" spans="1:9" ht="15" thickBot="1" x14ac:dyDescent="0.35">
      <c r="A56" s="78"/>
      <c r="B56" s="78"/>
      <c r="C56" s="78"/>
      <c r="D56" s="78"/>
      <c r="E56" s="37"/>
      <c r="F56" s="37"/>
      <c r="G56" s="37"/>
      <c r="H56" s="37"/>
      <c r="I56" s="37"/>
    </row>
    <row r="57" spans="1:9" ht="18.75" thickBot="1" x14ac:dyDescent="0.25">
      <c r="A57" s="71" t="s">
        <v>14</v>
      </c>
      <c r="B57" s="72">
        <v>3</v>
      </c>
      <c r="C57" s="73" t="s">
        <v>23</v>
      </c>
      <c r="D57" s="82">
        <v>42534</v>
      </c>
      <c r="E57" s="37"/>
      <c r="F57" s="37"/>
      <c r="G57" s="37"/>
      <c r="H57" s="37"/>
      <c r="I57" s="37"/>
    </row>
    <row r="58" spans="1:9" ht="27.75" thickBot="1" x14ac:dyDescent="0.25">
      <c r="A58" s="74" t="s">
        <v>3</v>
      </c>
      <c r="B58" s="75" t="s">
        <v>15</v>
      </c>
      <c r="C58" s="74" t="s">
        <v>7</v>
      </c>
      <c r="D58" s="74" t="s">
        <v>13</v>
      </c>
    </row>
    <row r="59" spans="1:9" ht="13.5" x14ac:dyDescent="0.2">
      <c r="A59" s="9"/>
      <c r="B59" s="8"/>
      <c r="C59" s="13"/>
      <c r="D59" s="13"/>
    </row>
    <row r="60" spans="1:9" ht="13.5" x14ac:dyDescent="0.2">
      <c r="A60" s="5"/>
      <c r="B60" s="6"/>
      <c r="C60" s="14"/>
      <c r="D60" s="14"/>
    </row>
    <row r="61" spans="1:9" ht="13.5" x14ac:dyDescent="0.2">
      <c r="A61" s="5"/>
      <c r="B61" s="6"/>
      <c r="C61" s="14"/>
      <c r="D61" s="14"/>
    </row>
    <row r="62" spans="1:9" ht="13.5" x14ac:dyDescent="0.2">
      <c r="A62" s="5"/>
      <c r="B62" s="6"/>
      <c r="C62" s="14"/>
      <c r="D62" s="14"/>
    </row>
    <row r="63" spans="1:9" ht="13.5" x14ac:dyDescent="0.2">
      <c r="A63" s="5"/>
      <c r="B63" s="6"/>
      <c r="C63" s="14"/>
      <c r="D63" s="14"/>
    </row>
    <row r="64" spans="1:9"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6"/>
      <c r="B68" s="6"/>
      <c r="C68" s="14"/>
      <c r="D68" s="14"/>
    </row>
    <row r="69" spans="1:4" ht="13.5" x14ac:dyDescent="0.2">
      <c r="A69" s="6"/>
      <c r="B69" s="6"/>
      <c r="C69" s="14"/>
      <c r="D69" s="14"/>
    </row>
    <row r="70" spans="1:4" ht="13.5" x14ac:dyDescent="0.2">
      <c r="A70" s="6"/>
      <c r="B70" s="6"/>
      <c r="C70" s="14"/>
      <c r="D70" s="14"/>
    </row>
    <row r="71" spans="1:4" ht="13.5" x14ac:dyDescent="0.2">
      <c r="A71" s="79"/>
      <c r="B71" s="79"/>
      <c r="C71" s="80"/>
      <c r="D71" s="80"/>
    </row>
    <row r="72" spans="1:4" ht="13.5" x14ac:dyDescent="0.2">
      <c r="A72" s="79"/>
      <c r="B72" s="79"/>
      <c r="C72" s="80"/>
      <c r="D72" s="80"/>
    </row>
    <row r="73" spans="1:4" ht="14.25" thickBot="1" x14ac:dyDescent="0.25">
      <c r="A73" s="7"/>
      <c r="B73" s="7"/>
      <c r="C73" s="15"/>
      <c r="D73" s="15"/>
    </row>
    <row r="74" spans="1:4" ht="14.25" thickBot="1" x14ac:dyDescent="0.25">
      <c r="A74" s="76" t="s">
        <v>22</v>
      </c>
      <c r="B74" s="76">
        <f>SUM(B59:B73)</f>
        <v>0</v>
      </c>
      <c r="C74" s="83" t="s">
        <v>37</v>
      </c>
      <c r="D74" s="77"/>
    </row>
    <row r="75" spans="1:4" ht="15" thickBot="1" x14ac:dyDescent="0.35">
      <c r="A75" s="78"/>
      <c r="B75" s="78"/>
      <c r="C75" s="78"/>
      <c r="D75" s="78"/>
    </row>
    <row r="76" spans="1:4" ht="18.75" thickBot="1" x14ac:dyDescent="0.25">
      <c r="A76" s="71" t="s">
        <v>14</v>
      </c>
      <c r="B76" s="72">
        <v>4</v>
      </c>
      <c r="C76" s="73" t="s">
        <v>23</v>
      </c>
      <c r="D76" s="82">
        <v>42541</v>
      </c>
    </row>
    <row r="77" spans="1:4" ht="27.75" thickBot="1" x14ac:dyDescent="0.25">
      <c r="A77" s="74" t="s">
        <v>3</v>
      </c>
      <c r="B77" s="75" t="s">
        <v>15</v>
      </c>
      <c r="C77" s="74" t="s">
        <v>7</v>
      </c>
      <c r="D77" s="74" t="s">
        <v>13</v>
      </c>
    </row>
    <row r="78" spans="1:4" s="98" customFormat="1" ht="15" x14ac:dyDescent="0.2">
      <c r="A78" s="102"/>
      <c r="B78" s="103"/>
      <c r="C78" s="111" t="s">
        <v>59</v>
      </c>
      <c r="D78" s="102"/>
    </row>
    <row r="79" spans="1:4" s="99" customFormat="1" ht="15" x14ac:dyDescent="0.2">
      <c r="A79" s="104"/>
      <c r="B79" s="105"/>
      <c r="C79" s="106"/>
      <c r="D79" s="104"/>
    </row>
    <row r="80" spans="1:4" s="99" customFormat="1" ht="13.5" x14ac:dyDescent="0.2">
      <c r="A80" s="107" t="s">
        <v>57</v>
      </c>
      <c r="B80" s="108">
        <v>90</v>
      </c>
      <c r="C80" s="109" t="s">
        <v>58</v>
      </c>
      <c r="D80" s="110"/>
    </row>
    <row r="81" spans="1:4" s="99" customFormat="1" ht="13.5" x14ac:dyDescent="0.2">
      <c r="A81" s="107"/>
      <c r="B81" s="108"/>
      <c r="C81" s="109"/>
      <c r="D81" s="110"/>
    </row>
    <row r="82" spans="1:4" s="97" customFormat="1" ht="15.75" thickBot="1" x14ac:dyDescent="0.25">
      <c r="A82" s="100"/>
      <c r="B82" s="101"/>
      <c r="C82" s="100"/>
      <c r="D82" s="100"/>
    </row>
    <row r="83" spans="1:4" ht="14.25" thickBot="1" x14ac:dyDescent="0.25">
      <c r="A83" s="76" t="s">
        <v>22</v>
      </c>
      <c r="B83" s="76">
        <f>SUM(B78:B82)</f>
        <v>90</v>
      </c>
      <c r="C83" s="83" t="s">
        <v>37</v>
      </c>
      <c r="D83" s="77"/>
    </row>
    <row r="84" spans="1:4" ht="15" thickBot="1" x14ac:dyDescent="0.35">
      <c r="A84" s="78"/>
      <c r="B84" s="78"/>
      <c r="C84" s="78"/>
      <c r="D84" s="78"/>
    </row>
    <row r="85" spans="1:4" ht="18.75" thickBot="1" x14ac:dyDescent="0.25">
      <c r="A85" s="71" t="s">
        <v>14</v>
      </c>
      <c r="B85" s="72">
        <v>5</v>
      </c>
      <c r="C85" s="73" t="s">
        <v>23</v>
      </c>
      <c r="D85" s="82">
        <v>42548</v>
      </c>
    </row>
    <row r="86" spans="1:4" ht="27.75" thickBot="1" x14ac:dyDescent="0.25">
      <c r="A86" s="74" t="s">
        <v>3</v>
      </c>
      <c r="B86" s="75" t="s">
        <v>15</v>
      </c>
      <c r="C86" s="74" t="s">
        <v>7</v>
      </c>
      <c r="D86" s="74"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5"/>
      <c r="B93" s="6"/>
      <c r="C93" s="14"/>
      <c r="D93" s="14"/>
    </row>
    <row r="94" spans="1:4" ht="13.5" x14ac:dyDescent="0.2">
      <c r="A94" s="5"/>
      <c r="B94" s="6"/>
      <c r="C94" s="14"/>
      <c r="D94" s="14"/>
    </row>
    <row r="95" spans="1:4" ht="13.5" x14ac:dyDescent="0.2">
      <c r="A95" s="5"/>
      <c r="B95" s="6"/>
      <c r="C95" s="14"/>
      <c r="D95" s="14"/>
    </row>
    <row r="96" spans="1:4" ht="13.5" x14ac:dyDescent="0.2">
      <c r="A96" s="6"/>
      <c r="B96" s="6"/>
      <c r="C96" s="14"/>
      <c r="D96" s="14"/>
    </row>
    <row r="97" spans="1:4" ht="13.5" x14ac:dyDescent="0.2">
      <c r="A97" s="6"/>
      <c r="B97" s="6"/>
      <c r="C97" s="14"/>
      <c r="D97" s="14"/>
    </row>
    <row r="98" spans="1:4" ht="13.5" x14ac:dyDescent="0.2">
      <c r="A98" s="6"/>
      <c r="B98" s="6"/>
      <c r="C98" s="14"/>
      <c r="D98" s="14"/>
    </row>
    <row r="99" spans="1:4" ht="13.5" x14ac:dyDescent="0.2">
      <c r="A99" s="79"/>
      <c r="B99" s="79"/>
      <c r="C99" s="80"/>
      <c r="D99" s="80"/>
    </row>
    <row r="100" spans="1:4" ht="13.5" x14ac:dyDescent="0.2">
      <c r="A100" s="79"/>
      <c r="B100" s="79"/>
      <c r="C100" s="80"/>
      <c r="D100" s="80"/>
    </row>
    <row r="101" spans="1:4" ht="14.25" thickBot="1" x14ac:dyDescent="0.25">
      <c r="A101" s="7"/>
      <c r="B101" s="7"/>
      <c r="C101" s="15"/>
      <c r="D101" s="15"/>
    </row>
    <row r="102" spans="1:4" ht="14.25" thickBot="1" x14ac:dyDescent="0.25">
      <c r="A102" s="76" t="s">
        <v>22</v>
      </c>
      <c r="B102" s="76">
        <f>SUM(B87:B101)</f>
        <v>0</v>
      </c>
      <c r="C102" s="83" t="s">
        <v>37</v>
      </c>
      <c r="D102" s="77"/>
    </row>
    <row r="103" spans="1:4" ht="14.25" x14ac:dyDescent="0.3">
      <c r="A103" s="78"/>
      <c r="B103" s="78"/>
      <c r="C103" s="78"/>
      <c r="D103" s="78"/>
    </row>
    <row r="104" spans="1:4" x14ac:dyDescent="0.2">
      <c r="A104" s="84"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3">
      <formula1>0</formula1>
      <formula2>DureePeriode-1</formula2>
    </dataValidation>
    <dataValidation type="whole" errorStyle="warning" operator="greaterThan" allowBlank="1" showInputMessage="1" showErrorMessage="1" errorTitle="Durée en 1/3 de période" error="Le nombre doit être de type entier" sqref="B47:B54 B87:B101 B80:B81 B59:B73 B28:B35 B4:B10 B12:B17 B19:B24 B41:B45 F45 F47:F5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55 B74 B83 B102">
      <formula1>0</formula1>
      <formula2>NbPerWeek * NbQuartPer</formula2>
    </dataValidation>
    <dataValidation type="list" allowBlank="1" showInputMessage="1" showErrorMessage="1" sqref="A87:A101 A80:A81 A59:A73 A28:A35 A4:A10 A12:A17 A19:A24 A41:A45 A47:A54">
      <formula1>lstTasks</formula1>
    </dataValidation>
  </dataValidations>
  <hyperlinks>
    <hyperlink ref="D19" r:id="rId1"/>
  </hyperlinks>
  <printOptions horizontalCentered="1" verticalCentered="1"/>
  <pageMargins left="0.25" right="0.25" top="0.75" bottom="0.75" header="0.3" footer="0.3"/>
  <pageSetup paperSize="9" scale="61" fitToHeight="0" orientation="portrait" cellComments="atEnd" r:id="rId2"/>
  <headerFooter>
    <oddHeader>&amp;L&amp;"ETML L,Normal"&amp;24ETML</oddHeader>
    <oddFooter>&amp;C&amp;F&amp;L&amp;D</oddFooter>
  </headerFooter>
  <drawing r:id="rId3"/>
  <legacyDrawing r:id="rId4"/>
  <controls>
    <mc:AlternateContent xmlns:mc="http://schemas.openxmlformats.org/markup-compatibility/2006">
      <mc:Choice Requires="x14">
        <control shapeId="45057"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5057"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11</vt:i4>
      </vt:variant>
    </vt:vector>
  </HeadingPairs>
  <TitlesOfParts>
    <vt:vector size="17"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2016-06-07T14:20:30Z</dcterms:modified>
  <cp:contentStatus>Version 8.0</cp:contentStatus>
</cp:coreProperties>
</file>